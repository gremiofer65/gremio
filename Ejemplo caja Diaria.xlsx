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zzo\Desktop\Fer\sistema\"/>
    </mc:Choice>
  </mc:AlternateContent>
  <xr:revisionPtr revIDLastSave="0" documentId="8_{5F9F722F-C10F-4774-94EE-A2506E1682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3" l="1"/>
  <c r="H45" i="3"/>
  <c r="C39" i="3" l="1"/>
  <c r="H49" i="3" l="1"/>
  <c r="J45" i="3" s="1"/>
</calcChain>
</file>

<file path=xl/sharedStrings.xml><?xml version="1.0" encoding="utf-8"?>
<sst xmlns="http://schemas.openxmlformats.org/spreadsheetml/2006/main" count="43" uniqueCount="40">
  <si>
    <t xml:space="preserve">INGRESOS </t>
  </si>
  <si>
    <t xml:space="preserve">Total de Ingresos </t>
  </si>
  <si>
    <t xml:space="preserve">Total de Egresos </t>
  </si>
  <si>
    <t xml:space="preserve">EGRESOS </t>
  </si>
  <si>
    <t xml:space="preserve">Fecha </t>
  </si>
  <si>
    <t xml:space="preserve">SALDO INICIAL DE CAJA </t>
  </si>
  <si>
    <t xml:space="preserve">Firma del responsable de caja </t>
  </si>
  <si>
    <t>Gastos Generales</t>
  </si>
  <si>
    <t>Servicios de Farmacia</t>
  </si>
  <si>
    <t>Sueldos y Cs Sociales</t>
  </si>
  <si>
    <t>EFECTIVO</t>
  </si>
  <si>
    <t>TRANSF/CHEQUES</t>
  </si>
  <si>
    <t>FAMS</t>
  </si>
  <si>
    <t>OPERACIONES EN BANCO</t>
  </si>
  <si>
    <t>Planilla de caja Diaria Secretaría</t>
  </si>
  <si>
    <t xml:space="preserve"> Recuento </t>
  </si>
  <si>
    <t>Valores a Depositar</t>
  </si>
  <si>
    <t>Transferencia de 10523/24 a 10551/45</t>
  </si>
  <si>
    <t>Loc. Pliclinico</t>
  </si>
  <si>
    <t>Total</t>
  </si>
  <si>
    <t>Gastos Gremiales</t>
  </si>
  <si>
    <t>.</t>
  </si>
  <si>
    <t>Cta. Bco. 10551/45</t>
  </si>
  <si>
    <t>Serv. Cont. Y Aseso.</t>
  </si>
  <si>
    <t xml:space="preserve"> </t>
  </si>
  <si>
    <t>Lubricantes y Comb.</t>
  </si>
  <si>
    <t>Mejoras C. de Depor.</t>
  </si>
  <si>
    <t>Imprenta y Utiles</t>
  </si>
  <si>
    <t>Gastos Policlinico</t>
  </si>
  <si>
    <t>Centro Cultural</t>
  </si>
  <si>
    <t>Mant. Mejoras Social</t>
  </si>
  <si>
    <t>Honorarios</t>
  </si>
  <si>
    <t>(salón)</t>
  </si>
  <si>
    <t>Caja</t>
  </si>
  <si>
    <t>Utiles Escolares</t>
  </si>
  <si>
    <t>(vaucher)</t>
  </si>
  <si>
    <t>Subsidios</t>
  </si>
  <si>
    <t>Cuota Jubilados</t>
  </si>
  <si>
    <t>Luz Sede Social</t>
  </si>
  <si>
    <t>Operación 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</si>
</sst>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#,##0.00\ &quot;€&quot;"/>
    <numFmt numFmtId="165" formatCode="_-[$$-2C0A]\ * #,##0.00_-;\-[$$-2C0A]\ * #,##0.00_-;_-[$$-2C0A]\ * &quot;-&quot;??_-;_-@_-"/>
    <numFmt numFmtId="166" formatCode="&quot;$&quot;\ #,##0.0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u val="singleAccounting"/>
      <sz val="10"/>
      <color theme="1"/>
      <name val="Arial"/>
      <family val="2"/>
    </font>
    <font>
      <b/>
      <u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u val="singleAccounting"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165" fontId="1" fillId="0" borderId="1" xfId="0" applyNumberFormat="1" applyFont="1" applyBorder="1"/>
    <xf numFmtId="165" fontId="1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165" fontId="6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165" fontId="2" fillId="0" borderId="0" xfId="0" applyNumberFormat="1" applyFont="1" applyAlignment="1">
      <alignment vertical="center"/>
    </xf>
    <xf numFmtId="165" fontId="7" fillId="0" borderId="2" xfId="0" applyNumberFormat="1" applyFont="1" applyBorder="1"/>
    <xf numFmtId="165" fontId="10" fillId="0" borderId="0" xfId="0" applyNumberFormat="1" applyFont="1"/>
    <xf numFmtId="165" fontId="1" fillId="0" borderId="8" xfId="0" applyNumberFormat="1" applyFont="1" applyBorder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  <xf numFmtId="165" fontId="1" fillId="0" borderId="12" xfId="0" applyNumberFormat="1" applyFont="1" applyBorder="1"/>
    <xf numFmtId="44" fontId="1" fillId="0" borderId="9" xfId="1" applyFont="1" applyBorder="1"/>
    <xf numFmtId="165" fontId="10" fillId="0" borderId="8" xfId="0" applyNumberFormat="1" applyFont="1" applyBorder="1"/>
    <xf numFmtId="165" fontId="2" fillId="0" borderId="8" xfId="0" applyNumberFormat="1" applyFont="1" applyBorder="1"/>
    <xf numFmtId="0" fontId="12" fillId="0" borderId="0" xfId="0" applyFont="1"/>
    <xf numFmtId="165" fontId="13" fillId="0" borderId="1" xfId="0" applyNumberFormat="1" applyFont="1" applyBorder="1"/>
    <xf numFmtId="165" fontId="14" fillId="0" borderId="0" xfId="0" applyNumberFormat="1" applyFont="1" applyAlignment="1">
      <alignment horizontal="center"/>
    </xf>
    <xf numFmtId="165" fontId="15" fillId="0" borderId="1" xfId="0" applyNumberFormat="1" applyFont="1" applyBorder="1"/>
    <xf numFmtId="165" fontId="3" fillId="2" borderId="0" xfId="0" applyNumberFormat="1" applyFont="1" applyFill="1"/>
    <xf numFmtId="165" fontId="1" fillId="0" borderId="13" xfId="0" applyNumberFormat="1" applyFont="1" applyBorder="1"/>
    <xf numFmtId="0" fontId="10" fillId="0" borderId="8" xfId="0" applyFont="1" applyBorder="1"/>
    <xf numFmtId="0" fontId="1" fillId="0" borderId="0" xfId="1" applyNumberFormat="1" applyFont="1" applyBorder="1"/>
    <xf numFmtId="165" fontId="1" fillId="0" borderId="0" xfId="0" applyNumberFormat="1" applyFont="1" applyAlignment="1">
      <alignment horizontal="right"/>
    </xf>
    <xf numFmtId="166" fontId="3" fillId="0" borderId="1" xfId="0" applyNumberFormat="1" applyFont="1" applyBorder="1"/>
    <xf numFmtId="0" fontId="16" fillId="0" borderId="0" xfId="0" applyFont="1"/>
    <xf numFmtId="165" fontId="1" fillId="0" borderId="0" xfId="0" applyNumberFormat="1" applyFont="1" applyAlignment="1">
      <alignment horizontal="center"/>
    </xf>
    <xf numFmtId="164" fontId="8" fillId="0" borderId="5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180975</xdr:colOff>
      <xdr:row>2</xdr:row>
      <xdr:rowOff>85725</xdr:rowOff>
    </xdr:to>
    <xdr:pic>
      <xdr:nvPicPr>
        <xdr:cNvPr id="3" name="Picture 1" descr="http://moriggia.no-ip.biz/mercurioweb/images/Logo_Secysch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143000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4"/>
  <sheetViews>
    <sheetView tabSelected="1" workbookViewId="0">
      <selection activeCell="C1" sqref="C1"/>
    </sheetView>
  </sheetViews>
  <sheetFormatPr baseColWidth="10" defaultRowHeight="14.4" x14ac:dyDescent="0.3"/>
  <cols>
    <col min="1" max="1" width="14.44140625" customWidth="1"/>
    <col min="2" max="2" width="4.5546875" customWidth="1"/>
    <col min="3" max="3" width="16" customWidth="1"/>
    <col min="4" max="4" width="0.5546875" customWidth="1"/>
    <col min="5" max="5" width="14.6640625" customWidth="1"/>
    <col min="6" max="6" width="3.109375" customWidth="1"/>
    <col min="7" max="7" width="5.109375" customWidth="1"/>
    <col min="8" max="8" width="15.109375" customWidth="1"/>
    <col min="9" max="9" width="0.44140625" customWidth="1"/>
    <col min="10" max="10" width="15.88671875" customWidth="1"/>
    <col min="11" max="11" width="0.33203125" hidden="1" customWidth="1"/>
    <col min="12" max="12" width="15.44140625" customWidth="1"/>
  </cols>
  <sheetData>
    <row r="2" spans="1:15" ht="18" x14ac:dyDescent="0.35">
      <c r="C2" s="35" t="s">
        <v>14</v>
      </c>
      <c r="D2" s="35"/>
      <c r="E2" s="35"/>
      <c r="F2" s="35"/>
      <c r="G2" s="35"/>
      <c r="H2" s="35"/>
      <c r="I2" s="35"/>
      <c r="J2" s="35"/>
      <c r="K2" s="35"/>
      <c r="L2" s="35"/>
    </row>
    <row r="3" spans="1:15" ht="15" thickBot="1" x14ac:dyDescent="0.35"/>
    <row r="4" spans="1:15" ht="15" thickBot="1" x14ac:dyDescent="0.35">
      <c r="A4" s="10"/>
      <c r="B4" s="10"/>
      <c r="C4" s="11" t="s">
        <v>5</v>
      </c>
      <c r="D4" s="11"/>
      <c r="E4" s="11"/>
      <c r="F4" s="36">
        <v>1507920</v>
      </c>
      <c r="G4" s="37"/>
      <c r="H4" s="38"/>
      <c r="I4" s="10"/>
      <c r="J4" s="10"/>
      <c r="K4" s="10"/>
    </row>
    <row r="5" spans="1:15" ht="15" thickBo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5" ht="15" thickBot="1" x14ac:dyDescent="0.35">
      <c r="G6" s="3" t="s">
        <v>21</v>
      </c>
      <c r="H6" s="9" t="s">
        <v>4</v>
      </c>
      <c r="I6" s="39">
        <v>45918</v>
      </c>
      <c r="J6" s="40"/>
      <c r="K6" s="3"/>
    </row>
    <row r="7" spans="1:15" ht="15" thickBot="1" x14ac:dyDescent="0.35"/>
    <row r="8" spans="1:15" ht="15" thickBot="1" x14ac:dyDescent="0.35">
      <c r="A8" s="36" t="s">
        <v>0</v>
      </c>
      <c r="B8" s="38"/>
      <c r="C8" s="9" t="s">
        <v>10</v>
      </c>
      <c r="D8" s="9"/>
      <c r="E8" s="21" t="s">
        <v>11</v>
      </c>
      <c r="F8" s="3"/>
      <c r="G8" s="36" t="s">
        <v>3</v>
      </c>
      <c r="H8" s="38"/>
      <c r="I8" s="3"/>
      <c r="J8" s="9" t="s">
        <v>10</v>
      </c>
      <c r="K8" s="9"/>
      <c r="L8" s="21" t="s">
        <v>11</v>
      </c>
    </row>
    <row r="9" spans="1:15" ht="15" thickBo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5" ht="15" thickBot="1" x14ac:dyDescent="0.35">
      <c r="A10" s="5" t="s">
        <v>12</v>
      </c>
      <c r="B10" s="3"/>
      <c r="C10" s="2"/>
      <c r="D10" s="3"/>
      <c r="E10" s="2">
        <v>109166.43</v>
      </c>
      <c r="F10" s="3"/>
      <c r="G10" s="5" t="s">
        <v>7</v>
      </c>
      <c r="H10" s="3"/>
      <c r="I10" s="3"/>
      <c r="J10" s="2"/>
      <c r="K10" s="3"/>
      <c r="L10" s="22"/>
    </row>
    <row r="11" spans="1:15" ht="15" thickBot="1" x14ac:dyDescent="0.35">
      <c r="A11" s="3"/>
      <c r="B11" s="3"/>
      <c r="C11" s="29"/>
      <c r="D11" s="3"/>
      <c r="F11" s="3"/>
      <c r="G11" s="3"/>
      <c r="H11" s="3"/>
      <c r="I11" s="3"/>
      <c r="J11" s="3"/>
      <c r="K11" s="3"/>
      <c r="L11" s="3"/>
    </row>
    <row r="12" spans="1:15" ht="15" thickBot="1" x14ac:dyDescent="0.35">
      <c r="A12" s="5" t="s">
        <v>33</v>
      </c>
      <c r="B12" s="3"/>
      <c r="C12" s="2"/>
      <c r="D12" s="3"/>
      <c r="E12" s="2"/>
      <c r="F12" s="3"/>
      <c r="G12" s="5" t="s">
        <v>22</v>
      </c>
      <c r="H12" s="3"/>
      <c r="I12" s="3"/>
      <c r="J12" s="2"/>
      <c r="K12" s="3"/>
      <c r="L12" s="2"/>
    </row>
    <row r="13" spans="1:15" ht="15" thickBo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5" ht="15" thickBot="1" x14ac:dyDescent="0.35">
      <c r="A14" s="5" t="s">
        <v>29</v>
      </c>
      <c r="B14" s="3"/>
      <c r="C14" s="2"/>
      <c r="D14" s="3"/>
      <c r="E14" s="2"/>
      <c r="F14" s="3"/>
      <c r="G14" s="5" t="s">
        <v>25</v>
      </c>
      <c r="H14" s="3"/>
      <c r="I14" s="3"/>
      <c r="J14" s="2"/>
      <c r="K14" s="3"/>
      <c r="L14" s="2"/>
    </row>
    <row r="15" spans="1:15" ht="15" thickBot="1" x14ac:dyDescent="0.35">
      <c r="A15" s="3"/>
      <c r="B15" s="3"/>
      <c r="C15" s="3"/>
      <c r="D15" s="3"/>
      <c r="E15" s="3"/>
      <c r="F15" s="3"/>
      <c r="G15" s="5"/>
      <c r="H15" s="3"/>
      <c r="I15" s="3"/>
      <c r="J15" s="3"/>
      <c r="K15" s="3"/>
      <c r="L15" s="3"/>
      <c r="O15" t="s">
        <v>24</v>
      </c>
    </row>
    <row r="16" spans="1:15" ht="15" thickBot="1" x14ac:dyDescent="0.35">
      <c r="A16" s="5" t="s">
        <v>37</v>
      </c>
      <c r="B16" s="3"/>
      <c r="C16" s="2"/>
      <c r="D16" s="3"/>
      <c r="E16" s="2"/>
      <c r="F16" s="3"/>
      <c r="G16" s="5" t="s">
        <v>31</v>
      </c>
      <c r="H16" s="3"/>
      <c r="I16" s="3"/>
      <c r="J16" s="2"/>
      <c r="K16" s="3"/>
      <c r="L16" s="2"/>
    </row>
    <row r="17" spans="1:12" ht="15" thickBo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5" thickBot="1" x14ac:dyDescent="0.35">
      <c r="A18" s="5" t="s">
        <v>18</v>
      </c>
      <c r="B18" s="3"/>
      <c r="C18" s="2"/>
      <c r="D18" s="3"/>
      <c r="E18" s="2"/>
      <c r="F18" s="3"/>
      <c r="G18" s="31" t="s">
        <v>27</v>
      </c>
      <c r="H18" s="31"/>
      <c r="I18" s="3"/>
      <c r="J18" s="2"/>
      <c r="K18" s="3"/>
      <c r="L18" s="2"/>
    </row>
    <row r="19" spans="1:12" ht="15" thickBo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5" thickBot="1" x14ac:dyDescent="0.35">
      <c r="A20" s="5"/>
      <c r="B20" s="3"/>
      <c r="C20" s="3"/>
      <c r="D20" s="3"/>
      <c r="E20" s="3"/>
      <c r="F20" s="3"/>
      <c r="G20" s="6" t="s">
        <v>23</v>
      </c>
      <c r="H20" s="3"/>
      <c r="I20" s="3"/>
      <c r="J20" s="2"/>
      <c r="K20" s="3"/>
      <c r="L20" s="2"/>
    </row>
    <row r="21" spans="1:12" ht="15" thickBo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5" thickBot="1" x14ac:dyDescent="0.35">
      <c r="A22" s="5"/>
      <c r="B22" s="3"/>
      <c r="C22" s="3"/>
      <c r="D22" s="3"/>
      <c r="E22" s="3"/>
      <c r="F22" s="3"/>
      <c r="G22" s="5" t="s">
        <v>8</v>
      </c>
      <c r="H22" s="3"/>
      <c r="I22" s="3"/>
      <c r="J22" s="2"/>
      <c r="K22" s="3">
        <v>36033.5</v>
      </c>
      <c r="L22" s="2"/>
    </row>
    <row r="23" spans="1:12" ht="15" thickBot="1" x14ac:dyDescent="0.35">
      <c r="A23" s="41" t="s">
        <v>13</v>
      </c>
      <c r="B23" s="42"/>
      <c r="C23" s="42"/>
      <c r="D23" s="42"/>
      <c r="E23" s="43"/>
      <c r="F23" s="3"/>
      <c r="G23" s="3"/>
      <c r="H23" s="3"/>
      <c r="I23" s="3"/>
      <c r="J23" s="3"/>
      <c r="K23" s="3"/>
      <c r="L23" s="3"/>
    </row>
    <row r="24" spans="1:12" ht="15" thickBot="1" x14ac:dyDescent="0.35">
      <c r="A24" s="13"/>
      <c r="B24" s="3"/>
      <c r="C24" s="3"/>
      <c r="D24" s="3"/>
      <c r="E24" s="14"/>
      <c r="F24" s="3"/>
      <c r="G24" s="5" t="s">
        <v>36</v>
      </c>
      <c r="H24" s="3"/>
      <c r="I24" s="3"/>
      <c r="J24" s="2"/>
      <c r="K24" s="3"/>
      <c r="L24" s="2"/>
    </row>
    <row r="25" spans="1:12" ht="18" thickBot="1" x14ac:dyDescent="0.6">
      <c r="A25" s="20" t="s">
        <v>17</v>
      </c>
      <c r="B25" s="12"/>
      <c r="C25" s="12"/>
      <c r="D25" s="3"/>
      <c r="E25" s="18"/>
      <c r="F25" s="3"/>
      <c r="G25" s="3"/>
      <c r="H25" s="3"/>
      <c r="I25" s="3"/>
      <c r="J25" s="3"/>
      <c r="K25" s="3"/>
      <c r="L25" s="3"/>
    </row>
    <row r="26" spans="1:12" ht="18" thickBot="1" x14ac:dyDescent="0.6">
      <c r="A26" s="27"/>
      <c r="B26" s="28"/>
      <c r="C26" s="3"/>
      <c r="D26" s="3">
        <v>4000000</v>
      </c>
      <c r="E26" s="14"/>
      <c r="F26" s="3"/>
      <c r="G26" s="5" t="s">
        <v>34</v>
      </c>
      <c r="H26" s="3"/>
      <c r="I26" s="3"/>
      <c r="J26" s="2"/>
      <c r="K26" s="3"/>
      <c r="L26" s="2"/>
    </row>
    <row r="27" spans="1:12" ht="18" thickBot="1" x14ac:dyDescent="0.6">
      <c r="A27" s="19"/>
      <c r="B27" s="3"/>
      <c r="C27" s="3"/>
      <c r="D27" s="3"/>
      <c r="E27" s="14"/>
      <c r="F27" s="3"/>
      <c r="G27" s="3" t="s">
        <v>35</v>
      </c>
      <c r="H27" s="3"/>
      <c r="I27" s="3"/>
      <c r="J27" s="3"/>
      <c r="K27" s="3"/>
      <c r="L27" s="3"/>
    </row>
    <row r="28" spans="1:12" ht="18" thickBot="1" x14ac:dyDescent="0.6">
      <c r="A28" s="19" t="s">
        <v>16</v>
      </c>
      <c r="B28" s="9"/>
      <c r="C28" s="12"/>
      <c r="D28" s="3"/>
      <c r="E28" s="14"/>
      <c r="F28" s="3"/>
      <c r="G28" s="5" t="s">
        <v>26</v>
      </c>
      <c r="H28" s="3"/>
      <c r="I28" s="3"/>
      <c r="J28" s="2"/>
      <c r="K28" s="3"/>
      <c r="L28" s="2"/>
    </row>
    <row r="29" spans="1:12" ht="18" thickBot="1" x14ac:dyDescent="0.6">
      <c r="A29" s="27" t="s">
        <v>39</v>
      </c>
      <c r="B29" s="23"/>
      <c r="C29" s="3">
        <v>680000</v>
      </c>
      <c r="D29" s="3"/>
      <c r="E29" s="14"/>
      <c r="F29" s="3"/>
      <c r="G29" s="3"/>
      <c r="H29" s="3" t="s">
        <v>32</v>
      </c>
      <c r="I29" s="3"/>
      <c r="J29" s="3"/>
      <c r="K29" s="3"/>
      <c r="L29" s="3"/>
    </row>
    <row r="30" spans="1:12" ht="18" thickBot="1" x14ac:dyDescent="0.6">
      <c r="A30" s="27"/>
      <c r="B30" s="3"/>
      <c r="C30" s="29"/>
      <c r="D30" s="3"/>
      <c r="E30" s="14"/>
      <c r="F30" s="3"/>
      <c r="G30" s="5" t="s">
        <v>20</v>
      </c>
      <c r="H30" s="3"/>
      <c r="I30" s="3"/>
      <c r="J30" s="2"/>
      <c r="K30" s="3"/>
      <c r="L30" s="2"/>
    </row>
    <row r="31" spans="1:12" ht="18" thickBot="1" x14ac:dyDescent="0.6">
      <c r="A31" s="27"/>
      <c r="B31" s="3"/>
      <c r="C31" s="32"/>
      <c r="D31" s="3"/>
      <c r="E31" s="14"/>
      <c r="F31" s="3"/>
      <c r="G31" s="3"/>
      <c r="H31" s="3"/>
      <c r="I31" s="3"/>
      <c r="J31" s="3"/>
      <c r="K31" s="3"/>
      <c r="L31" s="3"/>
    </row>
    <row r="32" spans="1:12" ht="18" thickBot="1" x14ac:dyDescent="0.6">
      <c r="A32" s="27"/>
      <c r="B32" s="3"/>
      <c r="C32" s="3"/>
      <c r="D32" s="3"/>
      <c r="E32" s="14"/>
      <c r="F32" s="3"/>
      <c r="G32" s="5" t="s">
        <v>38</v>
      </c>
      <c r="H32" s="3"/>
      <c r="I32" s="3"/>
      <c r="J32" s="2"/>
      <c r="K32" s="3">
        <v>11200</v>
      </c>
      <c r="L32" s="2">
        <v>182428.07</v>
      </c>
    </row>
    <row r="33" spans="1:12" ht="18" thickBot="1" x14ac:dyDescent="0.6">
      <c r="A33" s="27"/>
      <c r="B33" s="3"/>
      <c r="C33" s="3"/>
      <c r="D33" s="3"/>
      <c r="E33" s="14"/>
      <c r="F33" s="3"/>
      <c r="G33" s="3"/>
      <c r="H33" s="3"/>
      <c r="I33" s="3"/>
      <c r="J33" s="3"/>
      <c r="K33" s="3"/>
      <c r="L33" s="3"/>
    </row>
    <row r="34" spans="1:12" ht="18" thickBot="1" x14ac:dyDescent="0.6">
      <c r="A34" s="27"/>
      <c r="B34" s="3"/>
      <c r="C34" s="3"/>
      <c r="D34" s="3"/>
      <c r="E34" s="14"/>
      <c r="F34" s="3"/>
      <c r="G34" s="5" t="s">
        <v>30</v>
      </c>
      <c r="H34" s="3"/>
      <c r="I34" s="3"/>
      <c r="J34" s="2"/>
      <c r="K34" s="3"/>
      <c r="L34" s="2"/>
    </row>
    <row r="35" spans="1:12" ht="15" thickBot="1" x14ac:dyDescent="0.35">
      <c r="A35" s="13"/>
      <c r="B35" s="3"/>
      <c r="C35" s="3"/>
      <c r="D35" s="3"/>
      <c r="E35" s="14"/>
      <c r="F35" s="3"/>
      <c r="G35" s="5"/>
      <c r="H35" s="3"/>
      <c r="I35" s="3"/>
      <c r="J35" s="3"/>
      <c r="K35" s="3"/>
      <c r="L35" s="3"/>
    </row>
    <row r="36" spans="1:12" ht="15" thickBot="1" x14ac:dyDescent="0.35">
      <c r="A36" s="13"/>
      <c r="B36" s="3"/>
      <c r="C36" s="3"/>
      <c r="D36" s="3"/>
      <c r="E36" s="14"/>
      <c r="F36" s="3"/>
      <c r="G36" s="5" t="s">
        <v>9</v>
      </c>
      <c r="H36" s="3"/>
      <c r="I36" s="3"/>
      <c r="J36" s="2"/>
      <c r="K36" s="3"/>
      <c r="L36" s="2"/>
    </row>
    <row r="37" spans="1:12" ht="15" thickBot="1" x14ac:dyDescent="0.35">
      <c r="A37" s="13"/>
      <c r="B37" s="3"/>
      <c r="C37" s="3"/>
      <c r="D37" s="3"/>
      <c r="E37" s="14"/>
      <c r="F37" s="3"/>
      <c r="G37" s="5"/>
      <c r="H37" s="3"/>
      <c r="I37" s="3"/>
      <c r="J37" s="3"/>
      <c r="K37" s="3"/>
      <c r="L37" s="3"/>
    </row>
    <row r="38" spans="1:12" ht="15" thickBot="1" x14ac:dyDescent="0.35">
      <c r="A38" s="13"/>
      <c r="B38" s="3"/>
      <c r="C38" s="3"/>
      <c r="D38" s="3"/>
      <c r="E38" s="14"/>
      <c r="F38" s="3"/>
      <c r="G38" s="5" t="s">
        <v>29</v>
      </c>
      <c r="H38" s="3"/>
      <c r="I38" s="3"/>
      <c r="J38" s="2"/>
      <c r="K38" s="3"/>
      <c r="L38" s="2"/>
    </row>
    <row r="39" spans="1:12" ht="15" thickBot="1" x14ac:dyDescent="0.35">
      <c r="A39" s="15" t="s">
        <v>19</v>
      </c>
      <c r="B39" s="16"/>
      <c r="C39" s="16">
        <f>SUM(C29:C38)</f>
        <v>680000</v>
      </c>
      <c r="D39" s="16"/>
      <c r="E39" s="17"/>
      <c r="F39" s="3"/>
      <c r="G39" s="5"/>
      <c r="H39" s="3"/>
      <c r="I39" s="3"/>
      <c r="J39" s="3"/>
      <c r="K39" s="3"/>
      <c r="L39" s="3"/>
    </row>
    <row r="40" spans="1:12" ht="15" thickBot="1" x14ac:dyDescent="0.35">
      <c r="A40" s="3"/>
      <c r="B40" s="3"/>
      <c r="C40" s="3"/>
      <c r="D40" s="3"/>
      <c r="E40" s="3"/>
      <c r="F40" s="3"/>
      <c r="G40" s="5" t="s">
        <v>28</v>
      </c>
      <c r="H40" s="3"/>
      <c r="I40" s="3"/>
      <c r="J40" s="2"/>
      <c r="K40" s="3"/>
      <c r="L40" s="2">
        <v>107400</v>
      </c>
    </row>
    <row r="41" spans="1:12" ht="15" thickBot="1" x14ac:dyDescent="0.35">
      <c r="A41" s="3"/>
      <c r="B41" s="3"/>
      <c r="C41" s="3"/>
      <c r="D41" s="3"/>
      <c r="E41" s="3"/>
      <c r="F41" s="3"/>
      <c r="G41" s="9"/>
      <c r="H41" s="3"/>
      <c r="I41" s="3"/>
      <c r="J41" s="3"/>
      <c r="K41" s="3"/>
      <c r="L41" s="3"/>
    </row>
    <row r="42" spans="1:12" ht="18" thickBot="1" x14ac:dyDescent="0.6">
      <c r="A42" s="4"/>
      <c r="B42" s="4"/>
      <c r="C42" s="4"/>
      <c r="D42" s="4"/>
      <c r="E42" s="4"/>
      <c r="F42" s="4"/>
      <c r="G42" s="12"/>
      <c r="H42" s="4"/>
      <c r="I42" s="4"/>
      <c r="J42" s="2"/>
      <c r="K42" s="3"/>
      <c r="L42" s="22"/>
    </row>
    <row r="43" spans="1:12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2" ht="15" thickBo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2" ht="15" thickBot="1" x14ac:dyDescent="0.35">
      <c r="A45" s="4"/>
      <c r="B45" s="4"/>
      <c r="C45" s="7" t="s">
        <v>1</v>
      </c>
      <c r="D45" s="7"/>
      <c r="E45" s="7"/>
      <c r="F45" s="7"/>
      <c r="G45" s="4"/>
      <c r="H45" s="22">
        <f>C10+C12+C14+C16+C18</f>
        <v>0</v>
      </c>
      <c r="I45" s="4"/>
      <c r="J45" s="30">
        <f>+H49-L48</f>
        <v>0</v>
      </c>
      <c r="K45" s="4"/>
    </row>
    <row r="46" spans="1:12" ht="15" thickBot="1" x14ac:dyDescent="0.35">
      <c r="A46" s="4"/>
      <c r="B46" s="4"/>
      <c r="C46" s="7"/>
      <c r="D46" s="7"/>
      <c r="E46" s="7"/>
      <c r="F46" s="7"/>
      <c r="G46" s="4"/>
      <c r="H46" s="4"/>
      <c r="I46" s="4"/>
      <c r="J46" s="26"/>
      <c r="K46" s="4"/>
    </row>
    <row r="47" spans="1:12" ht="15" thickBot="1" x14ac:dyDescent="0.35">
      <c r="A47" s="4"/>
      <c r="B47" s="4"/>
      <c r="C47" s="7" t="s">
        <v>2</v>
      </c>
      <c r="D47" s="7"/>
      <c r="E47" s="7"/>
      <c r="F47" s="7"/>
      <c r="G47" s="4"/>
      <c r="H47" s="22">
        <f>J10+J12+J14+J16+J18+J20+J22+J24+J26+J28+J30+J32+J34+J36+J38+J40+J42</f>
        <v>0</v>
      </c>
      <c r="I47" s="4"/>
      <c r="J47" s="4"/>
      <c r="K47" s="4"/>
    </row>
    <row r="48" spans="1:12" ht="15" thickBot="1" x14ac:dyDescent="0.35">
      <c r="A48" s="4"/>
      <c r="B48" s="4"/>
      <c r="C48" s="7"/>
      <c r="D48" s="7"/>
      <c r="E48" s="7"/>
      <c r="F48" s="7"/>
      <c r="G48" s="4"/>
      <c r="H48" s="4"/>
      <c r="I48" s="4"/>
      <c r="J48" s="25" t="s">
        <v>15</v>
      </c>
      <c r="K48" s="25"/>
      <c r="L48" s="24">
        <v>1507920</v>
      </c>
    </row>
    <row r="49" spans="1:11" ht="15" thickBot="1" x14ac:dyDescent="0.35">
      <c r="A49" s="4"/>
      <c r="B49" s="4"/>
      <c r="C49" s="7"/>
      <c r="D49" s="7"/>
      <c r="E49" s="7"/>
      <c r="F49" s="7"/>
      <c r="G49" s="4"/>
      <c r="H49" s="24">
        <f>F4+H45-H47</f>
        <v>1507920</v>
      </c>
      <c r="I49" s="4"/>
      <c r="J49" s="4"/>
      <c r="K49" s="4"/>
    </row>
    <row r="50" spans="1:11" x14ac:dyDescent="0.3">
      <c r="A50" s="8"/>
      <c r="B50" s="8"/>
      <c r="C50" s="7"/>
      <c r="I50" s="8"/>
      <c r="J50" s="8"/>
      <c r="K50" s="8"/>
    </row>
    <row r="51" spans="1:11" x14ac:dyDescent="0.3">
      <c r="A51" s="8"/>
      <c r="B51" s="8"/>
      <c r="I51" s="8"/>
      <c r="J51" s="8"/>
      <c r="K51" s="8"/>
    </row>
    <row r="52" spans="1:11" x14ac:dyDescent="0.3">
      <c r="A52" s="1"/>
      <c r="G52" s="4"/>
      <c r="H52" s="4"/>
      <c r="I52" s="1"/>
      <c r="J52" s="1"/>
      <c r="K52" s="1"/>
    </row>
    <row r="53" spans="1:11" x14ac:dyDescent="0.3">
      <c r="H53" s="33" t="s">
        <v>6</v>
      </c>
      <c r="I53" s="33"/>
    </row>
    <row r="54" spans="1:11" x14ac:dyDescent="0.3">
      <c r="H54" s="34"/>
      <c r="I54" s="34"/>
    </row>
  </sheetData>
  <mergeCells count="7">
    <mergeCell ref="H53:I54"/>
    <mergeCell ref="C2:L2"/>
    <mergeCell ref="F4:H4"/>
    <mergeCell ref="I6:J6"/>
    <mergeCell ref="A8:B8"/>
    <mergeCell ref="G8:H8"/>
    <mergeCell ref="A23:E23"/>
  </mergeCells>
  <pageMargins left="3.937007874015748E-2" right="3.937007874015748E-2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peñalva</dc:creator>
  <cp:lastModifiedBy>Federico Rizzo</cp:lastModifiedBy>
  <cp:lastPrinted>2025-09-19T11:12:43Z</cp:lastPrinted>
  <dcterms:created xsi:type="dcterms:W3CDTF">2020-07-22T19:00:27Z</dcterms:created>
  <dcterms:modified xsi:type="dcterms:W3CDTF">2026-09-27T20:52:33Z</dcterms:modified>
</cp:coreProperties>
</file>